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isk Snap Main\Business\Research\Models\Vol Surface\"/>
    </mc:Choice>
  </mc:AlternateContent>
  <xr:revisionPtr revIDLastSave="0" documentId="13_ncr:1_{C9A8483F-AC63-479B-B070-C6482B9085D9}" xr6:coauthVersionLast="47" xr6:coauthVersionMax="47" xr10:uidLastSave="{00000000-0000-0000-0000-000000000000}"/>
  <bookViews>
    <workbookView xWindow="14580" yWindow="0" windowWidth="17955" windowHeight="15585" xr2:uid="{1334ED38-D758-4F90-93C4-F08F9BD10332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1" i="1" l="1"/>
</calcChain>
</file>

<file path=xl/sharedStrings.xml><?xml version="1.0" encoding="utf-8"?>
<sst xmlns="http://schemas.openxmlformats.org/spreadsheetml/2006/main" count="21" uniqueCount="20">
  <si>
    <t>Tenor</t>
  </si>
  <si>
    <t>ExpiryDate</t>
  </si>
  <si>
    <t>Implied Vols</t>
  </si>
  <si>
    <t>1w</t>
  </si>
  <si>
    <t>2w</t>
  </si>
  <si>
    <t>1m</t>
  </si>
  <si>
    <t>2m</t>
  </si>
  <si>
    <t>3m</t>
  </si>
  <si>
    <t>6m</t>
  </si>
  <si>
    <t>1y</t>
  </si>
  <si>
    <t>18m</t>
  </si>
  <si>
    <t>2y</t>
  </si>
  <si>
    <t>3y</t>
  </si>
  <si>
    <t>4y</t>
  </si>
  <si>
    <t>Extrapolated cells are designated as 1 or 2</t>
  </si>
  <si>
    <t>AMZN</t>
  </si>
  <si>
    <t>Spot</t>
  </si>
  <si>
    <t>Strike</t>
  </si>
  <si>
    <t>Equity</t>
  </si>
  <si>
    <t>Color for extrapolated cells is different from core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</si>
</sst>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6" formatCode="[$-409]d/mmm/yyyy;@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35946E"/>
        <bgColor indexed="64"/>
      </patternFill>
    </fill>
    <fill>
      <patternFill patternType="solid">
        <fgColor rgb="FF724219"/>
        <bgColor indexed="64"/>
      </patternFill>
    </fill>
    <fill>
      <patternFill patternType="solid">
        <fgColor rgb="FFBFBDC3"/>
        <bgColor indexed="64"/>
      </patternFill>
    </fill>
    <fill>
      <patternFill patternType="solid">
        <fgColor rgb="FFCBCFD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3" fillId="4" borderId="0" xfId="0" applyFont="1" applyFill="1"/>
    <xf numFmtId="0" fontId="0" fillId="0" borderId="0" xfId="0" applyFill="1"/>
    <xf numFmtId="0" fontId="0" fillId="5" borderId="0" xfId="0" applyFill="1"/>
    <xf numFmtId="166" fontId="0" fillId="5" borderId="0" xfId="0" applyNumberFormat="1" applyFill="1"/>
    <xf numFmtId="43" fontId="0" fillId="5" borderId="0" xfId="1" applyNumberFormat="1" applyFont="1" applyFill="1"/>
    <xf numFmtId="43" fontId="0" fillId="0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AMZN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Main!$B$7</c:f>
              <c:strCache>
                <c:ptCount val="1"/>
                <c:pt idx="0">
                  <c:v>13-Jun-2026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Main!$C$7:$M$7</c:f>
              <c:numCache>
                <c:formatCode>General</c:formatCode>
                <c:ptCount val="11"/>
                <c:pt idx="0">
                  <c:v>2.8072360568678265</c:v>
                </c:pt>
                <c:pt idx="1">
                  <c:v>1.2957028008493885</c:v>
                </c:pt>
                <c:pt idx="2">
                  <c:v>0.58353845998566622</c:v>
                </c:pt>
                <c:pt idx="3">
                  <c:v>0.48507440721242823</c:v>
                </c:pt>
                <c:pt idx="4">
                  <c:v>0.40618420606883093</c:v>
                </c:pt>
                <c:pt idx="5">
                  <c:v>0.36435712395467307</c:v>
                </c:pt>
                <c:pt idx="6">
                  <c:v>0.35051864006274058</c:v>
                </c:pt>
                <c:pt idx="7">
                  <c:v>0.3469853224475114</c:v>
                </c:pt>
                <c:pt idx="8">
                  <c:v>0.38643691267344465</c:v>
                </c:pt>
                <c:pt idx="9">
                  <c:v>0.57733370682773766</c:v>
                </c:pt>
                <c:pt idx="10">
                  <c:v>1.0496446944843472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0-4498-AC07-49524FD67522}"/>
            </c:ext>
          </c:extLst>
        </c:ser>
        <c:ser>
          <c:idx val="1"/>
          <c:order val="1"/>
          <c:tx>
            <c:strRef>
              <c:f>Main!$B$8</c:f>
              <c:strCache>
                <c:ptCount val="1"/>
                <c:pt idx="0">
                  <c:v>20-Jun-2026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Main!$C$8:$M$8</c:f>
              <c:numCache>
                <c:formatCode>General</c:formatCode>
                <c:ptCount val="11"/>
                <c:pt idx="0">
                  <c:v>2.3712031145620975</c:v>
                </c:pt>
                <c:pt idx="1">
                  <c:v>1.1291995478259935</c:v>
                </c:pt>
                <c:pt idx="2">
                  <c:v>0.55582054189921104</c:v>
                </c:pt>
                <c:pt idx="3">
                  <c:v>0.46318749293375172</c:v>
                </c:pt>
                <c:pt idx="4">
                  <c:v>0.39210795749474975</c:v>
                </c:pt>
                <c:pt idx="5">
                  <c:v>0.35976299404653211</c:v>
                </c:pt>
                <c:pt idx="6">
                  <c:v>0.34953282876397973</c:v>
                </c:pt>
                <c:pt idx="7">
                  <c:v>0.34384901053575778</c:v>
                </c:pt>
                <c:pt idx="8">
                  <c:v>0.37344420403034062</c:v>
                </c:pt>
                <c:pt idx="9">
                  <c:v>0.57596146913513913</c:v>
                </c:pt>
                <c:pt idx="10">
                  <c:v>1.158422185842988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0-4498-AC07-49524FD67522}"/>
            </c:ext>
          </c:extLst>
        </c:ser>
        <c:ser>
          <c:idx val="2"/>
          <c:order val="2"/>
          <c:tx>
            <c:strRef>
              <c:f>Main!$B$9</c:f>
              <c:strCache>
                <c:ptCount val="1"/>
                <c:pt idx="0">
                  <c:v>6-Jul-2026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Main!$C$9:$M$9</c:f>
              <c:numCache>
                <c:formatCode>General</c:formatCode>
                <c:ptCount val="11"/>
                <c:pt idx="0">
                  <c:v>1.014758619881966</c:v>
                </c:pt>
                <c:pt idx="1">
                  <c:v>0.62991732262478173</c:v>
                </c:pt>
                <c:pt idx="2">
                  <c:v>0.43606809631510313</c:v>
                </c:pt>
                <c:pt idx="3">
                  <c:v>0.3787771936037696</c:v>
                </c:pt>
                <c:pt idx="4">
                  <c:v>0.3575525404689559</c:v>
                </c:pt>
                <c:pt idx="5">
                  <c:v>0.33980284495887647</c:v>
                </c:pt>
                <c:pt idx="6">
                  <c:v>0.32779844403136421</c:v>
                </c:pt>
                <c:pt idx="7">
                  <c:v>0.33279159917089624</c:v>
                </c:pt>
                <c:pt idx="8">
                  <c:v>0.34921116356884396</c:v>
                </c:pt>
                <c:pt idx="9">
                  <c:v>0.46708388319646049</c:v>
                </c:pt>
                <c:pt idx="10">
                  <c:v>0.76114732887471614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0-4498-AC07-49524FD67522}"/>
            </c:ext>
          </c:extLst>
        </c:ser>
        <c:ser>
          <c:idx val="3"/>
          <c:order val="3"/>
          <c:tx>
            <c:strRef>
              <c:f>Main!$B$10</c:f>
              <c:strCache>
                <c:ptCount val="1"/>
                <c:pt idx="0">
                  <c:v>6-Aug-2026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Main!$C$10:$M$10</c:f>
              <c:numCache>
                <c:formatCode>General</c:formatCode>
                <c:ptCount val="11"/>
                <c:pt idx="0">
                  <c:v>0.82757030637104012</c:v>
                </c:pt>
                <c:pt idx="1">
                  <c:v>0.53628483650890102</c:v>
                </c:pt>
                <c:pt idx="2">
                  <c:v>0.40574853420120888</c:v>
                </c:pt>
                <c:pt idx="3">
                  <c:v>0.38689152556785472</c:v>
                </c:pt>
                <c:pt idx="4">
                  <c:v>0.37174944802031529</c:v>
                </c:pt>
                <c:pt idx="5">
                  <c:v>0.36698217569209979</c:v>
                </c:pt>
                <c:pt idx="6">
                  <c:v>0.36113728443007492</c:v>
                </c:pt>
                <c:pt idx="7">
                  <c:v>0.36525800525687985</c:v>
                </c:pt>
                <c:pt idx="8">
                  <c:v>0.36672612178333935</c:v>
                </c:pt>
                <c:pt idx="9">
                  <c:v>0.42014810003708492</c:v>
                </c:pt>
                <c:pt idx="10">
                  <c:v>0.58154102636583538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20-4498-AC07-49524FD67522}"/>
            </c:ext>
          </c:extLst>
        </c:ser>
        <c:ser>
          <c:idx val="4"/>
          <c:order val="4"/>
          <c:tx>
            <c:strRef>
              <c:f>Main!$B$11</c:f>
              <c:strCache>
                <c:ptCount val="1"/>
                <c:pt idx="0">
                  <c:v>7-Sep-2026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Main!$C$11:$M$11</c:f>
              <c:numCache>
                <c:formatCode>General</c:formatCode>
                <c:ptCount val="11"/>
                <c:pt idx="0">
                  <c:v>0.77600008879190208</c:v>
                </c:pt>
                <c:pt idx="1">
                  <c:v>0.48919561546308382</c:v>
                </c:pt>
                <c:pt idx="2">
                  <c:v>0.3961689274229368</c:v>
                </c:pt>
                <c:pt idx="3">
                  <c:v>0.38443426654784607</c:v>
                </c:pt>
                <c:pt idx="4">
                  <c:v>0.37361783119952757</c:v>
                </c:pt>
                <c:pt idx="5">
                  <c:v>0.37188991969884494</c:v>
                </c:pt>
                <c:pt idx="6">
                  <c:v>0.36751671633113964</c:v>
                </c:pt>
                <c:pt idx="7">
                  <c:v>0.36788623740038501</c:v>
                </c:pt>
                <c:pt idx="8">
                  <c:v>0.37249557700146085</c:v>
                </c:pt>
                <c:pt idx="9">
                  <c:v>0.40110129067593098</c:v>
                </c:pt>
                <c:pt idx="10">
                  <c:v>0.56017097002539828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20-4498-AC07-49524FD67522}"/>
            </c:ext>
          </c:extLst>
        </c:ser>
        <c:ser>
          <c:idx val="5"/>
          <c:order val="5"/>
          <c:tx>
            <c:strRef>
              <c:f>Main!$B$12</c:f>
              <c:strCache>
                <c:ptCount val="1"/>
                <c:pt idx="0">
                  <c:v>7-Dec-2026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Main!$C$12:$M$12</c:f>
              <c:numCache>
                <c:formatCode>General</c:formatCode>
                <c:ptCount val="11"/>
                <c:pt idx="0">
                  <c:v>0.64782412765367203</c:v>
                </c:pt>
                <c:pt idx="1">
                  <c:v>0.43284974902918621</c:v>
                </c:pt>
                <c:pt idx="2">
                  <c:v>0.39034012480210944</c:v>
                </c:pt>
                <c:pt idx="3">
                  <c:v>0.38171059683633879</c:v>
                </c:pt>
                <c:pt idx="4">
                  <c:v>0.37929903397555276</c:v>
                </c:pt>
                <c:pt idx="5">
                  <c:v>0.37525761590570145</c:v>
                </c:pt>
                <c:pt idx="6">
                  <c:v>0.37344870628205756</c:v>
                </c:pt>
                <c:pt idx="7">
                  <c:v>0.37239104279543406</c:v>
                </c:pt>
                <c:pt idx="8">
                  <c:v>0.37331428686687185</c:v>
                </c:pt>
                <c:pt idx="9">
                  <c:v>0.38676781322614079</c:v>
                </c:pt>
                <c:pt idx="10">
                  <c:v>0.47656776553932995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20-4498-AC07-49524FD67522}"/>
            </c:ext>
          </c:extLst>
        </c:ser>
        <c:ser>
          <c:idx val="6"/>
          <c:order val="6"/>
          <c:tx>
            <c:strRef>
              <c:f>Main!$B$13</c:f>
              <c:strCache>
                <c:ptCount val="1"/>
                <c:pt idx="0">
                  <c:v>7-Jun-2027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Main!$C$13:$M$13</c:f>
              <c:numCache>
                <c:formatCode>General</c:formatCode>
                <c:ptCount val="11"/>
                <c:pt idx="0">
                  <c:v>0.52759769585076854</c:v>
                </c:pt>
                <c:pt idx="1">
                  <c:v>0.41150999084433842</c:v>
                </c:pt>
                <c:pt idx="2">
                  <c:v>0.38813221885293187</c:v>
                </c:pt>
                <c:pt idx="3">
                  <c:v>0.38488437312654061</c:v>
                </c:pt>
                <c:pt idx="4">
                  <c:v>0.38185173526623656</c:v>
                </c:pt>
                <c:pt idx="5">
                  <c:v>0.37940755787062325</c:v>
                </c:pt>
                <c:pt idx="6">
                  <c:v>0.37942855243899648</c:v>
                </c:pt>
                <c:pt idx="7">
                  <c:v>0.378520839623953</c:v>
                </c:pt>
                <c:pt idx="8">
                  <c:v>0.37968324015739785</c:v>
                </c:pt>
                <c:pt idx="9">
                  <c:v>0.38967637240633107</c:v>
                </c:pt>
                <c:pt idx="10">
                  <c:v>0.43837983268916725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20-4498-AC07-49524FD67522}"/>
            </c:ext>
          </c:extLst>
        </c:ser>
        <c:ser>
          <c:idx val="7"/>
          <c:order val="7"/>
          <c:tx>
            <c:strRef>
              <c:f>Main!$B$14</c:f>
              <c:strCache>
                <c:ptCount val="1"/>
                <c:pt idx="0">
                  <c:v>6-Dec-2027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Main!$C$14:$M$14</c:f>
              <c:numCache>
                <c:formatCode>General</c:formatCode>
                <c:ptCount val="11"/>
                <c:pt idx="0">
                  <c:v>0.49811990835460329</c:v>
                </c:pt>
                <c:pt idx="1">
                  <c:v>0.40760388076312137</c:v>
                </c:pt>
                <c:pt idx="2">
                  <c:v>0.39388484363014731</c:v>
                </c:pt>
                <c:pt idx="3">
                  <c:v>0.39136551612285114</c:v>
                </c:pt>
                <c:pt idx="4">
                  <c:v>0.3897415305578944</c:v>
                </c:pt>
                <c:pt idx="5">
                  <c:v>0.38859506477217992</c:v>
                </c:pt>
                <c:pt idx="6">
                  <c:v>0.38855605084052691</c:v>
                </c:pt>
                <c:pt idx="7">
                  <c:v>0.38882657255424918</c:v>
                </c:pt>
                <c:pt idx="8">
                  <c:v>0.39053651105864279</c:v>
                </c:pt>
                <c:pt idx="9">
                  <c:v>0.39867747546095444</c:v>
                </c:pt>
                <c:pt idx="10">
                  <c:v>0.43369854209284975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20-4498-AC07-49524FD67522}"/>
            </c:ext>
          </c:extLst>
        </c:ser>
        <c:ser>
          <c:idx val="8"/>
          <c:order val="8"/>
          <c:tx>
            <c:strRef>
              <c:f>Main!$B$15</c:f>
              <c:strCache>
                <c:ptCount val="1"/>
                <c:pt idx="0">
                  <c:v>6-Jun-2028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Main!$C$15:$M$15</c:f>
              <c:numCache>
                <c:formatCode>General</c:formatCode>
                <c:ptCount val="11"/>
                <c:pt idx="0">
                  <c:v>0.4621958465946952</c:v>
                </c:pt>
                <c:pt idx="1">
                  <c:v>0.40993737630254978</c:v>
                </c:pt>
                <c:pt idx="2">
                  <c:v>0.3993929821875013</c:v>
                </c:pt>
                <c:pt idx="3">
                  <c:v>0.39778946581136659</c:v>
                </c:pt>
                <c:pt idx="4">
                  <c:v>0.39490381980745803</c:v>
                </c:pt>
                <c:pt idx="5">
                  <c:v>0.39467341418893287</c:v>
                </c:pt>
                <c:pt idx="6">
                  <c:v>0.39523465924185691</c:v>
                </c:pt>
                <c:pt idx="7">
                  <c:v>0.39658033979080598</c:v>
                </c:pt>
                <c:pt idx="8">
                  <c:v>0.3984088343382004</c:v>
                </c:pt>
                <c:pt idx="9">
                  <c:v>0.3873597996119153</c:v>
                </c:pt>
                <c:pt idx="10">
                  <c:v>0.43630495561945265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20-4498-AC07-49524FD67522}"/>
            </c:ext>
          </c:extLst>
        </c:ser>
        <c:ser>
          <c:idx val="9"/>
          <c:order val="9"/>
          <c:tx>
            <c:strRef>
              <c:f>Main!$B$16</c:f>
              <c:strCache>
                <c:ptCount val="1"/>
                <c:pt idx="0">
                  <c:v>6-Jun-2029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Main!$C$16:$M$16</c:f>
              <c:numCache>
                <c:formatCode>General</c:formatCode>
                <c:ptCount val="11"/>
                <c:pt idx="0">
                  <c:v>0.42366947978657699</c:v>
                </c:pt>
                <c:pt idx="1">
                  <c:v>0.41448605378978753</c:v>
                </c:pt>
                <c:pt idx="2">
                  <c:v>0.40198821707806759</c:v>
                </c:pt>
                <c:pt idx="3">
                  <c:v>0.40211497017401743</c:v>
                </c:pt>
                <c:pt idx="4">
                  <c:v>0.40390989943112965</c:v>
                </c:pt>
                <c:pt idx="5">
                  <c:v>0.39950537342269393</c:v>
                </c:pt>
                <c:pt idx="6">
                  <c:v>0.39966072986901874</c:v>
                </c:pt>
                <c:pt idx="7">
                  <c:v>0.40080890250794449</c:v>
                </c:pt>
                <c:pt idx="8">
                  <c:v>0.40341337348785083</c:v>
                </c:pt>
                <c:pt idx="9">
                  <c:v>0.41061840752865775</c:v>
                </c:pt>
                <c:pt idx="10">
                  <c:v>0.43826605786344858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820-4498-AC07-49524FD67522}"/>
            </c:ext>
          </c:extLst>
        </c:ser>
        <c:ser>
          <c:idx val="10"/>
          <c:order val="10"/>
          <c:tx>
            <c:strRef>
              <c:f>Main!$B$17</c:f>
              <c:strCache>
                <c:ptCount val="1"/>
                <c:pt idx="0">
                  <c:v>6-Jun-2030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Main!$C$6:$M$6</c:f>
              <c:numCache>
                <c:formatCode>General</c:formatCode>
                <c:ptCount val="11"/>
                <c:pt idx="0">
                  <c:v>0.4</c:v>
                </c:pt>
                <c:pt idx="1">
                  <c:v>0.7</c:v>
                </c:pt>
                <c:pt idx="2">
                  <c:v>0.85</c:v>
                </c:pt>
                <c:pt idx="3">
                  <c:v>0.9</c:v>
                </c:pt>
                <c:pt idx="4">
                  <c:v>0.95</c:v>
                </c:pt>
                <c:pt idx="5">
                  <c:v>1</c:v>
                </c:pt>
                <c:pt idx="6">
                  <c:v>1.05</c:v>
                </c:pt>
                <c:pt idx="7">
                  <c:v>1.1000000000000001</c:v>
                </c:pt>
                <c:pt idx="8">
                  <c:v>1.1499999999999999</c:v>
                </c:pt>
                <c:pt idx="9">
                  <c:v>1.3</c:v>
                </c:pt>
                <c:pt idx="10">
                  <c:v>1.6</c:v>
                </c:pt>
              </c:numCache>
            </c:numRef>
          </c:cat>
          <c:val>
            <c:numRef>
              <c:f>Main!$C$17:$M$17</c:f>
              <c:numCache>
                <c:formatCode>General</c:formatCode>
                <c:ptCount val="11"/>
                <c:pt idx="0">
                  <c:v>0.42366947978657699</c:v>
                </c:pt>
                <c:pt idx="1">
                  <c:v>0.41448605378978753</c:v>
                </c:pt>
                <c:pt idx="2">
                  <c:v>0.40198821707806759</c:v>
                </c:pt>
                <c:pt idx="3">
                  <c:v>0.40211497017401743</c:v>
                </c:pt>
                <c:pt idx="4">
                  <c:v>0.40390989943112965</c:v>
                </c:pt>
                <c:pt idx="5">
                  <c:v>0.39950537342269393</c:v>
                </c:pt>
                <c:pt idx="6">
                  <c:v>0.39966072986901874</c:v>
                </c:pt>
                <c:pt idx="7">
                  <c:v>0.40080890250794449</c:v>
                </c:pt>
                <c:pt idx="8">
                  <c:v>0.40341337348785083</c:v>
                </c:pt>
                <c:pt idx="9">
                  <c:v>0.41061840752865775</c:v>
                </c:pt>
                <c:pt idx="10">
                  <c:v>0.43826605786344858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20-4498-AC07-49524FD6752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110382528"/>
        <c:axId val="2110383968"/>
        <c:axId val="327516720"/>
      </c:surface3DChart>
      <c:catAx>
        <c:axId val="2110382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383968"/>
        <c:crosses val="autoZero"/>
        <c:auto val="1"/>
        <c:lblAlgn val="ctr"/>
        <c:lblOffset val="100"/>
        <c:noMultiLvlLbl val="0"/>
      </c:catAx>
      <c:valAx>
        <c:axId val="211038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382528"/>
        <c:crosses val="autoZero"/>
        <c:crossBetween val="midCat"/>
      </c:valAx>
      <c:serAx>
        <c:axId val="3275167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03839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9524</xdr:colOff>
          <xdr:row>0</xdr:row>
          <xdr:rowOff>161925</xdr:rowOff>
        </xdr:from>
        <xdr:to>
          <xdr:col>9</xdr:col>
          <xdr:colOff>95249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109536</xdr:colOff>
      <xdr:row>18</xdr:row>
      <xdr:rowOff>80961</xdr:rowOff>
    </xdr:from>
    <xdr:to>
      <xdr:col>10</xdr:col>
      <xdr:colOff>114299</xdr:colOff>
      <xdr:row>33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0DCA79-D589-28F4-426A-D96439BFC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AB93-0C29-4634-87F0-9EE30D53A476}">
  <sheetPr codeName="Sheet1"/>
  <dimension ref="A1:R18"/>
  <sheetViews>
    <sheetView tabSelected="1" workbookViewId="0">
      <selection activeCell="B2" sqref="B2"/>
    </sheetView>
  </sheetViews>
  <sheetFormatPr defaultRowHeight="15" x14ac:dyDescent="0.25"/>
  <cols>
    <col min="2" max="2" width="14" customWidth="1"/>
    <col min="3" max="12" width="9.28515625" bestFit="1" customWidth="1"/>
    <col min="13" max="13" width="9.5703125" bestFit="1" customWidth="1"/>
  </cols>
  <sheetData>
    <row r="1" spans="1:18" s="4" customFormat="1" x14ac:dyDescent="0.25">
      <c r="M1" s="4">
        <f>COLUMN()</f>
        <v>13</v>
      </c>
      <c r="R1" s="4" t="s">
        <v>14</v>
      </c>
    </row>
    <row r="2" spans="1:18" s="4" customFormat="1" x14ac:dyDescent="0.25">
      <c r="A2" s="4" t="s">
        <v>18</v>
      </c>
      <c r="B2" s="4" t="s">
        <v>15</v>
      </c>
    </row>
    <row r="3" spans="1:18" s="4" customFormat="1" x14ac:dyDescent="0.25"/>
    <row r="4" spans="1:18" s="8" customFormat="1" x14ac:dyDescent="0.25">
      <c r="A4" s="7"/>
      <c r="B4" s="7" t="s">
        <v>17</v>
      </c>
      <c r="C4" s="5">
        <v>98.41</v>
      </c>
      <c r="D4" s="5">
        <v>172.22</v>
      </c>
      <c r="E4" s="5">
        <v>209.13</v>
      </c>
      <c r="F4" s="5">
        <v>221.43</v>
      </c>
      <c r="G4" s="5">
        <v>233.73</v>
      </c>
      <c r="H4" s="5">
        <v>246.03</v>
      </c>
      <c r="I4" s="5">
        <v>258.33</v>
      </c>
      <c r="J4" s="5">
        <v>270.63</v>
      </c>
      <c r="K4" s="5">
        <v>282.93</v>
      </c>
      <c r="L4" s="5">
        <v>319.83999999999997</v>
      </c>
      <c r="M4" s="5">
        <v>393.65</v>
      </c>
    </row>
    <row r="5" spans="1:18" x14ac:dyDescent="0.25">
      <c r="A5" s="5" t="s">
        <v>0</v>
      </c>
      <c r="B5" s="5" t="s">
        <v>1</v>
      </c>
      <c r="C5" s="5" t="s">
        <v>2</v>
      </c>
      <c r="D5" s="5"/>
      <c r="E5" s="5" t="s">
        <v>15</v>
      </c>
      <c r="F5" s="5" t="s">
        <v>16</v>
      </c>
      <c r="G5" s="5">
        <v>246.03</v>
      </c>
      <c r="H5" s="5"/>
      <c r="I5" s="5"/>
      <c r="J5" s="5"/>
      <c r="K5" s="5"/>
      <c r="L5" s="5"/>
      <c r="M5" s="5"/>
    </row>
    <row r="6" spans="1:18" x14ac:dyDescent="0.25">
      <c r="A6" s="5"/>
      <c r="B6" s="5"/>
      <c r="C6" s="5">
        <v>0.4</v>
      </c>
      <c r="D6" s="5">
        <v>0.7</v>
      </c>
      <c r="E6" s="5">
        <v>0.85</v>
      </c>
      <c r="F6" s="5">
        <v>0.9</v>
      </c>
      <c r="G6" s="5">
        <v>0.95</v>
      </c>
      <c r="H6" s="5">
        <v>1</v>
      </c>
      <c r="I6" s="5">
        <v>1.05</v>
      </c>
      <c r="J6" s="5">
        <v>1.1000000000000001</v>
      </c>
      <c r="K6" s="5">
        <v>1.1499999999999999</v>
      </c>
      <c r="L6" s="5">
        <v>1.3</v>
      </c>
      <c r="M6" s="5">
        <v>1.6</v>
      </c>
    </row>
    <row r="7" spans="1:18" x14ac:dyDescent="0.25">
      <c r="A7" s="5" t="s">
        <v>3</v>
      </c>
      <c r="B7" s="6">
        <v>46186</v>
      </c>
      <c r="C7" s="3">
        <v>2.8072360568678265</v>
      </c>
      <c r="D7" s="3">
        <v>1.2957028008493885</v>
      </c>
      <c r="E7" s="3">
        <v>0.58353845998566622</v>
      </c>
      <c r="F7" s="3">
        <v>0.48507440721242823</v>
      </c>
      <c r="G7" s="3">
        <v>0.40618420606883093</v>
      </c>
      <c r="H7" s="3">
        <v>0.36435712395467307</v>
      </c>
      <c r="I7" s="3">
        <v>0.35051864006274058</v>
      </c>
      <c r="J7" s="3">
        <v>0.3469853224475114</v>
      </c>
      <c r="K7" s="3">
        <v>0.38643691267344465</v>
      </c>
      <c r="L7" s="3">
        <v>0.57733370682773766</v>
      </c>
      <c r="M7" s="3">
        <v>1.0496446944843472</v>
      </c>
    </row>
    <row r="8" spans="1:18" x14ac:dyDescent="0.25">
      <c r="A8" s="5" t="s">
        <v>4</v>
      </c>
      <c r="B8" s="6">
        <v>46193</v>
      </c>
      <c r="C8" s="3">
        <v>2.3712031145620975</v>
      </c>
      <c r="D8" s="2">
        <v>1.1291995478259935</v>
      </c>
      <c r="E8" s="1">
        <v>0.55582054189921104</v>
      </c>
      <c r="F8" s="1">
        <v>0.46318749293375172</v>
      </c>
      <c r="G8" s="1">
        <v>0.39210795749474975</v>
      </c>
      <c r="H8" s="1">
        <v>0.35976299404653211</v>
      </c>
      <c r="I8" s="1">
        <v>0.34953282876397973</v>
      </c>
      <c r="J8" s="1">
        <v>0.34384901053575778</v>
      </c>
      <c r="K8" s="1">
        <v>0.37344420403034062</v>
      </c>
      <c r="L8" s="2">
        <v>0.57596146913513913</v>
      </c>
      <c r="M8" s="3">
        <v>1.158422185842988</v>
      </c>
    </row>
    <row r="9" spans="1:18" x14ac:dyDescent="0.25">
      <c r="A9" s="5" t="s">
        <v>5</v>
      </c>
      <c r="B9" s="6">
        <v>46209</v>
      </c>
      <c r="C9" s="3">
        <v>1.014758619881966</v>
      </c>
      <c r="D9" s="2">
        <v>0.62991732262478173</v>
      </c>
      <c r="E9" s="1">
        <v>0.43606809631510313</v>
      </c>
      <c r="F9" s="1">
        <v>0.3787771936037696</v>
      </c>
      <c r="G9" s="1">
        <v>0.3575525404689559</v>
      </c>
      <c r="H9" s="1">
        <v>0.33980284495887647</v>
      </c>
      <c r="I9" s="1">
        <v>0.32779844403136421</v>
      </c>
      <c r="J9" s="1">
        <v>0.33279159917089624</v>
      </c>
      <c r="K9" s="1">
        <v>0.34921116356884396</v>
      </c>
      <c r="L9" s="3">
        <v>0.46708388319646049</v>
      </c>
      <c r="M9" s="3">
        <v>0.76114732887471614</v>
      </c>
    </row>
    <row r="10" spans="1:18" x14ac:dyDescent="0.25">
      <c r="A10" s="5" t="s">
        <v>6</v>
      </c>
      <c r="B10" s="6">
        <v>46240</v>
      </c>
      <c r="C10" s="3">
        <v>0.82757030637104012</v>
      </c>
      <c r="D10" s="1">
        <v>0.53628483650890102</v>
      </c>
      <c r="E10" s="1">
        <v>0.40574853420120888</v>
      </c>
      <c r="F10" s="1">
        <v>0.38689152556785472</v>
      </c>
      <c r="G10" s="1">
        <v>0.37174944802031529</v>
      </c>
      <c r="H10" s="1">
        <v>0.36698217569209979</v>
      </c>
      <c r="I10" s="1">
        <v>0.36113728443007492</v>
      </c>
      <c r="J10" s="1">
        <v>0.36525800525687985</v>
      </c>
      <c r="K10" s="1">
        <v>0.36672612178333935</v>
      </c>
      <c r="L10" s="1">
        <v>0.42014810003708492</v>
      </c>
      <c r="M10" s="3">
        <v>0.58154102636583538</v>
      </c>
    </row>
    <row r="11" spans="1:18" x14ac:dyDescent="0.25">
      <c r="A11" s="5" t="s">
        <v>7</v>
      </c>
      <c r="B11" s="6">
        <v>46272</v>
      </c>
      <c r="C11" s="3">
        <v>0.77600008879190208</v>
      </c>
      <c r="D11" s="1">
        <v>0.48919561546308382</v>
      </c>
      <c r="E11" s="1">
        <v>0.3961689274229368</v>
      </c>
      <c r="F11" s="1">
        <v>0.38443426654784607</v>
      </c>
      <c r="G11" s="1">
        <v>0.37361783119952757</v>
      </c>
      <c r="H11" s="1">
        <v>0.37188991969884494</v>
      </c>
      <c r="I11" s="1">
        <v>0.36751671633113964</v>
      </c>
      <c r="J11" s="1">
        <v>0.36788623740038501</v>
      </c>
      <c r="K11" s="1">
        <v>0.37249557700146085</v>
      </c>
      <c r="L11" s="1">
        <v>0.40110129067593098</v>
      </c>
      <c r="M11" s="2">
        <v>0.56017097002539828</v>
      </c>
    </row>
    <row r="12" spans="1:18" x14ac:dyDescent="0.25">
      <c r="A12" s="5" t="s">
        <v>8</v>
      </c>
      <c r="B12" s="6">
        <v>46363</v>
      </c>
      <c r="C12" s="2">
        <v>0.64782412765367203</v>
      </c>
      <c r="D12" s="1">
        <v>0.43284974902918621</v>
      </c>
      <c r="E12" s="1">
        <v>0.39034012480210944</v>
      </c>
      <c r="F12" s="1">
        <v>0.38171059683633879</v>
      </c>
      <c r="G12" s="1">
        <v>0.37929903397555276</v>
      </c>
      <c r="H12" s="1">
        <v>0.37525761590570145</v>
      </c>
      <c r="I12" s="1">
        <v>0.37344870628205756</v>
      </c>
      <c r="J12" s="1">
        <v>0.37239104279543406</v>
      </c>
      <c r="K12" s="1">
        <v>0.37331428686687185</v>
      </c>
      <c r="L12" s="1">
        <v>0.38676781322614079</v>
      </c>
      <c r="M12" s="2">
        <v>0.47656776553932995</v>
      </c>
    </row>
    <row r="13" spans="1:18" x14ac:dyDescent="0.25">
      <c r="A13" s="5" t="s">
        <v>9</v>
      </c>
      <c r="B13" s="6">
        <v>46545</v>
      </c>
      <c r="C13" s="2">
        <v>0.52759769585076854</v>
      </c>
      <c r="D13" s="1">
        <v>0.41150999084433842</v>
      </c>
      <c r="E13" s="1">
        <v>0.38813221885293187</v>
      </c>
      <c r="F13" s="1">
        <v>0.38488437312654061</v>
      </c>
      <c r="G13" s="1">
        <v>0.38185173526623656</v>
      </c>
      <c r="H13" s="1">
        <v>0.37940755787062325</v>
      </c>
      <c r="I13" s="1">
        <v>0.37942855243899648</v>
      </c>
      <c r="J13" s="1">
        <v>0.378520839623953</v>
      </c>
      <c r="K13" s="1">
        <v>0.37968324015739785</v>
      </c>
      <c r="L13" s="1">
        <v>0.38967637240633107</v>
      </c>
      <c r="M13" s="2">
        <v>0.43837983268916725</v>
      </c>
    </row>
    <row r="14" spans="1:18" x14ac:dyDescent="0.25">
      <c r="A14" s="5" t="s">
        <v>10</v>
      </c>
      <c r="B14" s="6">
        <v>46727</v>
      </c>
      <c r="C14" s="2">
        <v>0.49811990835460329</v>
      </c>
      <c r="D14" s="1">
        <v>0.40760388076312137</v>
      </c>
      <c r="E14" s="1">
        <v>0.39388484363014731</v>
      </c>
      <c r="F14" s="1">
        <v>0.39136551612285114</v>
      </c>
      <c r="G14" s="1">
        <v>0.3897415305578944</v>
      </c>
      <c r="H14" s="1">
        <v>0.38859506477217992</v>
      </c>
      <c r="I14" s="1">
        <v>0.38855605084052691</v>
      </c>
      <c r="J14" s="1">
        <v>0.38882657255424918</v>
      </c>
      <c r="K14" s="1">
        <v>0.39053651105864279</v>
      </c>
      <c r="L14" s="1">
        <v>0.39867747546095444</v>
      </c>
      <c r="M14" s="2">
        <v>0.43369854209284975</v>
      </c>
    </row>
    <row r="15" spans="1:18" x14ac:dyDescent="0.25">
      <c r="A15" s="5" t="s">
        <v>11</v>
      </c>
      <c r="B15" s="6">
        <v>46910</v>
      </c>
      <c r="C15" s="3">
        <v>0.4621958465946952</v>
      </c>
      <c r="D15" s="1">
        <v>0.40993737630254978</v>
      </c>
      <c r="E15" s="1">
        <v>0.3993929821875013</v>
      </c>
      <c r="F15" s="1">
        <v>0.39778946581136659</v>
      </c>
      <c r="G15" s="1">
        <v>0.39490381980745803</v>
      </c>
      <c r="H15" s="1">
        <v>0.39467341418893287</v>
      </c>
      <c r="I15" s="1">
        <v>0.39523465924185691</v>
      </c>
      <c r="J15" s="1">
        <v>0.39658033979080598</v>
      </c>
      <c r="K15" s="1">
        <v>0.3984088343382004</v>
      </c>
      <c r="L15" s="1">
        <v>0.3873597996119153</v>
      </c>
      <c r="M15" s="1">
        <v>0.43630495561945265</v>
      </c>
    </row>
    <row r="16" spans="1:18" x14ac:dyDescent="0.25">
      <c r="A16" s="5" t="s">
        <v>12</v>
      </c>
      <c r="B16" s="6">
        <v>47275</v>
      </c>
      <c r="C16" s="3">
        <v>0.42366947978657699</v>
      </c>
      <c r="D16" s="3">
        <v>0.41448605378978753</v>
      </c>
      <c r="E16" s="3">
        <v>0.40198821707806759</v>
      </c>
      <c r="F16" s="3">
        <v>0.40211497017401743</v>
      </c>
      <c r="G16" s="3">
        <v>0.40390989943112965</v>
      </c>
      <c r="H16" s="3">
        <v>0.39950537342269393</v>
      </c>
      <c r="I16" s="3">
        <v>0.39966072986901874</v>
      </c>
      <c r="J16" s="3">
        <v>0.40080890250794449</v>
      </c>
      <c r="K16" s="3">
        <v>0.40341337348785083</v>
      </c>
      <c r="L16" s="3">
        <v>0.41061840752865775</v>
      </c>
      <c r="M16" s="3">
        <v>0.43826605786344858</v>
      </c>
    </row>
    <row r="17" spans="1:13" x14ac:dyDescent="0.25">
      <c r="A17" s="5" t="s">
        <v>13</v>
      </c>
      <c r="B17" s="6">
        <v>47640</v>
      </c>
      <c r="C17" s="3">
        <v>0.42366947978657699</v>
      </c>
      <c r="D17" s="3">
        <v>0.41448605378978753</v>
      </c>
      <c r="E17" s="3">
        <v>0.40198821707806759</v>
      </c>
      <c r="F17" s="3">
        <v>0.40211497017401743</v>
      </c>
      <c r="G17" s="3">
        <v>0.40390989943112965</v>
      </c>
      <c r="H17" s="3">
        <v>0.39950537342269393</v>
      </c>
      <c r="I17" s="3">
        <v>0.39966072986901874</v>
      </c>
      <c r="J17" s="3">
        <v>0.40080890250794449</v>
      </c>
      <c r="K17" s="3">
        <v>0.40341337348785083</v>
      </c>
      <c r="L17" s="3">
        <v>0.41061840752865775</v>
      </c>
      <c r="M17" s="3">
        <v>0.43826605786344858</v>
      </c>
    </row>
    <row r="18" spans="1:13" x14ac:dyDescent="0.25">
      <c r="B18" t="s">
        <v>19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9525</xdr:colOff>
                    <xdr:row>0</xdr:row>
                    <xdr:rowOff>161925</xdr:rowOff>
                  </from>
                  <to>
                    <xdr:col>9</xdr:col>
                    <xdr:colOff>95250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tomiko murk</dc:creator>
  <cp:lastModifiedBy>tomiko murk</cp:lastModifiedBy>
  <dcterms:created xsi:type="dcterms:W3CDTF">2026-06-08T21:21:00Z</dcterms:created>
  <dcterms:modified xsi:type="dcterms:W3CDTF">2026-06-09T16:49:04Z</dcterms:modified>
</cp:coreProperties>
</file>